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3DB5C0067A6BF549/Documents/"/>
    </mc:Choice>
  </mc:AlternateContent>
  <xr:revisionPtr revIDLastSave="0" documentId="8_{26C4CAFD-16D9-4FDE-BD19-65BF80DDE8C3}" xr6:coauthVersionLast="47" xr6:coauthVersionMax="47" xr10:uidLastSave="{00000000-0000-0000-0000-000000000000}"/>
  <bookViews>
    <workbookView xWindow="-96" yWindow="0" windowWidth="11712" windowHeight="12336" xr2:uid="{9966007A-D50A-4EC7-B340-F4F265EEA093}"/>
  </bookViews>
  <sheets>
    <sheet name="Payrol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5" i="1" l="1"/>
  <c r="AD24" i="1"/>
  <c r="AD23" i="1"/>
  <c r="AD22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4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C22" i="1"/>
  <c r="C23" i="1"/>
  <c r="C24" i="1"/>
  <c r="C25" i="1"/>
  <c r="Y4" i="1"/>
  <c r="Z4" i="1"/>
  <c r="AA4" i="1"/>
  <c r="AB4" i="1"/>
  <c r="Y5" i="1"/>
  <c r="Z5" i="1"/>
  <c r="AA5" i="1"/>
  <c r="AB5" i="1"/>
  <c r="Y6" i="1"/>
  <c r="Z6" i="1"/>
  <c r="AA6" i="1"/>
  <c r="AB6" i="1"/>
  <c r="Y7" i="1"/>
  <c r="Z7" i="1"/>
  <c r="AA7" i="1"/>
  <c r="AB7" i="1"/>
  <c r="Y8" i="1"/>
  <c r="Z8" i="1"/>
  <c r="AA8" i="1"/>
  <c r="AB8" i="1"/>
  <c r="Y9" i="1"/>
  <c r="Z9" i="1"/>
  <c r="AA9" i="1"/>
  <c r="AB9" i="1"/>
  <c r="Y10" i="1"/>
  <c r="Z10" i="1"/>
  <c r="AA10" i="1"/>
  <c r="AB10" i="1"/>
  <c r="Y11" i="1"/>
  <c r="Z11" i="1"/>
  <c r="AA11" i="1"/>
  <c r="AB11" i="1"/>
  <c r="Y12" i="1"/>
  <c r="Z12" i="1"/>
  <c r="AA12" i="1"/>
  <c r="AB12" i="1"/>
  <c r="Y13" i="1"/>
  <c r="Z13" i="1"/>
  <c r="AA13" i="1"/>
  <c r="AB13" i="1"/>
  <c r="Y14" i="1"/>
  <c r="Z14" i="1"/>
  <c r="AA14" i="1"/>
  <c r="AB14" i="1"/>
  <c r="Y15" i="1"/>
  <c r="Z15" i="1"/>
  <c r="AA15" i="1"/>
  <c r="AB15" i="1"/>
  <c r="Y16" i="1"/>
  <c r="Z16" i="1"/>
  <c r="AA16" i="1"/>
  <c r="AB16" i="1"/>
  <c r="Y17" i="1"/>
  <c r="Z17" i="1"/>
  <c r="AA17" i="1"/>
  <c r="AB17" i="1"/>
  <c r="Y18" i="1"/>
  <c r="Z18" i="1"/>
  <c r="AA18" i="1"/>
  <c r="AB18" i="1"/>
  <c r="Y19" i="1"/>
  <c r="Z19" i="1"/>
  <c r="AA19" i="1"/>
  <c r="AB19" i="1"/>
  <c r="Y20" i="1"/>
  <c r="Z20" i="1"/>
  <c r="AA20" i="1"/>
  <c r="AB20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Z3" i="1"/>
  <c r="AA3" i="1"/>
  <c r="AB3" i="1" s="1"/>
  <c r="Y3" i="1"/>
  <c r="T4" i="1"/>
  <c r="U4" i="1"/>
  <c r="V4" i="1"/>
  <c r="W4" i="1"/>
  <c r="T5" i="1"/>
  <c r="U5" i="1"/>
  <c r="V5" i="1"/>
  <c r="W5" i="1"/>
  <c r="T6" i="1"/>
  <c r="U6" i="1"/>
  <c r="V6" i="1"/>
  <c r="W6" i="1"/>
  <c r="T7" i="1"/>
  <c r="U7" i="1"/>
  <c r="V7" i="1"/>
  <c r="W7" i="1"/>
  <c r="T8" i="1"/>
  <c r="U8" i="1"/>
  <c r="V8" i="1"/>
  <c r="W8" i="1"/>
  <c r="T9" i="1"/>
  <c r="U9" i="1"/>
  <c r="V9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T13" i="1"/>
  <c r="U13" i="1"/>
  <c r="V13" i="1"/>
  <c r="W13" i="1"/>
  <c r="T14" i="1"/>
  <c r="U14" i="1"/>
  <c r="V14" i="1"/>
  <c r="W14" i="1"/>
  <c r="T15" i="1"/>
  <c r="U15" i="1"/>
  <c r="V15" i="1"/>
  <c r="W15" i="1"/>
  <c r="T16" i="1"/>
  <c r="U16" i="1"/>
  <c r="V16" i="1"/>
  <c r="W16" i="1"/>
  <c r="T17" i="1"/>
  <c r="U17" i="1"/>
  <c r="V17" i="1"/>
  <c r="W17" i="1"/>
  <c r="T18" i="1"/>
  <c r="U18" i="1"/>
  <c r="V18" i="1"/>
  <c r="W18" i="1"/>
  <c r="T19" i="1"/>
  <c r="U19" i="1"/>
  <c r="V19" i="1"/>
  <c r="W19" i="1"/>
  <c r="T20" i="1"/>
  <c r="U20" i="1"/>
  <c r="V20" i="1"/>
  <c r="W20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4" i="1"/>
  <c r="U3" i="1"/>
  <c r="V3" i="1"/>
  <c r="W3" i="1" s="1"/>
  <c r="T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4" i="1"/>
  <c r="O3" i="1"/>
  <c r="P3" i="1" s="1"/>
  <c r="Q3" i="1" s="1"/>
  <c r="R3" i="1" s="1"/>
  <c r="K6" i="1"/>
  <c r="K5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I4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4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K3" i="1" s="1"/>
  <c r="L3" i="1" s="1"/>
  <c r="M3" i="1" s="1"/>
  <c r="E3" i="1"/>
  <c r="F3" i="1" s="1"/>
  <c r="G3" i="1" s="1"/>
  <c r="H3" i="1" s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X4" i="1" l="1"/>
</calcChain>
</file>

<file path=xl/sharedStrings.xml><?xml version="1.0" encoding="utf-8"?>
<sst xmlns="http://schemas.openxmlformats.org/spreadsheetml/2006/main" count="49" uniqueCount="48">
  <si>
    <t>Employee Payroll</t>
  </si>
  <si>
    <t>Ms. Shreya</t>
  </si>
  <si>
    <t>Hours Worked</t>
  </si>
  <si>
    <t>Overtime Hours</t>
  </si>
  <si>
    <t>Pay</t>
  </si>
  <si>
    <t>OverTime Bonus</t>
  </si>
  <si>
    <t>Total</t>
  </si>
  <si>
    <t>Last Name</t>
  </si>
  <si>
    <t>First Name</t>
  </si>
  <si>
    <t>Hourly wedge</t>
  </si>
  <si>
    <t>January Pay</t>
  </si>
  <si>
    <t>Kern</t>
  </si>
  <si>
    <t>Jon</t>
  </si>
  <si>
    <t>Howard</t>
  </si>
  <si>
    <t>Glenda</t>
  </si>
  <si>
    <t>O'Donnald</t>
  </si>
  <si>
    <t>Ron</t>
  </si>
  <si>
    <t>Herndandez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</si>
  <si>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</si>
  <si>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</si>
  <si>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</si>
  <si>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</si>
  <si>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</si>
  <si>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</si>
  <si>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</si>
  <si>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</si>
  <si>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</si>
  <si>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</si>
  <si>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</si>
  <si>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</si>
  <si>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</si>
  <si>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</si>
  <si>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</si>
  <si>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</si>
  <si>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</si>
  <si>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</si>
  <si>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</si>
  <si>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Engleherart</t>
  </si>
  <si>
    <t>Chandra</t>
  </si>
  <si>
    <t>Norman</t>
  </si>
  <si>
    <t>Bill</t>
  </si>
  <si>
    <t>Mann</t>
  </si>
  <si>
    <t>Trent</t>
  </si>
  <si>
    <t>Underhill</t>
  </si>
  <si>
    <t>Genesis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</si>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</sst>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0" fillId="2" borderId="1" xfId="0" applyFont="1" applyFill="1" applyBorder="1" applyAlignment="1"/>
    <xf numFmtId="16" fontId="0" fillId="2" borderId="1" xfId="0" applyNumberFormat="1" applyFont="1" applyFill="1" applyBorder="1"/>
    <xf numFmtId="0" fontId="0" fillId="2" borderId="1" xfId="0" applyFont="1" applyFill="1" applyBorder="1"/>
    <xf numFmtId="0" fontId="0" fillId="0" borderId="1" xfId="0" applyBorder="1"/>
    <xf numFmtId="0" fontId="0" fillId="3" borderId="1" xfId="0" applyFill="1" applyBorder="1"/>
    <xf numFmtId="16" fontId="0" fillId="3" borderId="1" xfId="0" applyNumberFormat="1" applyFill="1" applyBorder="1"/>
    <xf numFmtId="0" fontId="0" fillId="4" borderId="1" xfId="0" applyFill="1" applyBorder="1"/>
    <xf numFmtId="16" fontId="0" fillId="4" borderId="1" xfId="0" applyNumberFormat="1" applyFill="1" applyBorder="1"/>
    <xf numFmtId="164" fontId="0" fillId="0" borderId="1" xfId="0" applyNumberFormat="1" applyBorder="1"/>
    <xf numFmtId="164" fontId="0" fillId="4" borderId="1" xfId="0" applyNumberFormat="1" applyFill="1" applyBorder="1"/>
    <xf numFmtId="0" fontId="0" fillId="5" borderId="1" xfId="0" applyFill="1" applyBorder="1"/>
    <xf numFmtId="16" fontId="0" fillId="5" borderId="1" xfId="0" applyNumberFormat="1" applyFill="1" applyBorder="1"/>
    <xf numFmtId="164" fontId="0" fillId="5" borderId="1" xfId="0" applyNumberFormat="1" applyFill="1" applyBorder="1"/>
    <xf numFmtId="0" fontId="0" fillId="6" borderId="1" xfId="0" applyFill="1" applyBorder="1"/>
    <xf numFmtId="16" fontId="0" fillId="6" borderId="1" xfId="0" applyNumberFormat="1" applyFill="1" applyBorder="1"/>
    <xf numFmtId="164" fontId="0" fillId="6" borderId="1" xfId="0" applyNumberFormat="1" applyFill="1" applyBorder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9AFA0-CEF3-4140-AFA3-29DB460D0898}">
  <dimension ref="A1:AD25"/>
  <sheetViews>
    <sheetView tabSelected="1" topLeftCell="AB1" zoomScale="94" zoomScaleNormal="94" workbookViewId="0">
      <selection activeCell="AD3" sqref="AD3"/>
    </sheetView>
  </sheetViews>
  <sheetFormatPr defaultRowHeight="14.45"/>
  <cols>
    <col min="1" max="1" width="14.7109375" bestFit="1" customWidth="1"/>
    <col min="2" max="2" width="9.7109375" bestFit="1" customWidth="1"/>
    <col min="3" max="4" width="12.42578125" bestFit="1" customWidth="1"/>
    <col min="5" max="8" width="12.42578125" customWidth="1"/>
    <col min="9" max="9" width="13.7109375" bestFit="1" customWidth="1"/>
    <col min="10" max="18" width="13.7109375" customWidth="1"/>
    <col min="19" max="19" width="14.85546875" bestFit="1" customWidth="1"/>
    <col min="20" max="23" width="14.85546875" customWidth="1"/>
    <col min="24" max="25" width="13.7109375" customWidth="1"/>
    <col min="26" max="26" width="12.85546875" customWidth="1"/>
    <col min="27" max="27" width="14.140625" bestFit="1" customWidth="1"/>
    <col min="28" max="28" width="14" customWidth="1"/>
    <col min="30" max="30" width="13.7109375" customWidth="1"/>
  </cols>
  <sheetData>
    <row r="1" spans="1:30">
      <c r="A1" t="s">
        <v>0</v>
      </c>
      <c r="C1" t="s">
        <v>1</v>
      </c>
    </row>
    <row r="2" spans="1:30">
      <c r="D2" s="2" t="s">
        <v>2</v>
      </c>
      <c r="E2" s="2"/>
      <c r="F2" s="2"/>
      <c r="G2" s="2"/>
      <c r="H2" s="2"/>
      <c r="I2" s="6" t="s">
        <v>3</v>
      </c>
      <c r="J2" s="6"/>
      <c r="K2" s="6"/>
      <c r="L2" s="6"/>
      <c r="M2" s="6"/>
      <c r="N2" s="8" t="s">
        <v>4</v>
      </c>
      <c r="O2" s="8"/>
      <c r="P2" s="8"/>
      <c r="Q2" s="8"/>
      <c r="R2" s="8"/>
      <c r="S2" s="12" t="s">
        <v>5</v>
      </c>
      <c r="T2" s="12"/>
      <c r="U2" s="12"/>
      <c r="V2" s="12"/>
      <c r="W2" s="12"/>
      <c r="X2" s="15" t="s">
        <v>6</v>
      </c>
      <c r="Y2" s="15"/>
      <c r="Z2" s="15"/>
      <c r="AA2" s="15"/>
      <c r="AB2" s="15"/>
    </row>
    <row r="3" spans="1:30">
      <c r="A3" t="s">
        <v>7</v>
      </c>
      <c r="B3" t="s">
        <v>8</v>
      </c>
      <c r="C3" t="s">
        <v>9</v>
      </c>
      <c r="D3" s="3">
        <v>45658</v>
      </c>
      <c r="E3" s="3">
        <f>D3+7</f>
        <v>45665</v>
      </c>
      <c r="F3" s="3">
        <f t="shared" ref="F3:H3" si="0">E3+7</f>
        <v>45672</v>
      </c>
      <c r="G3" s="3">
        <f t="shared" si="0"/>
        <v>45679</v>
      </c>
      <c r="H3" s="3">
        <f t="shared" si="0"/>
        <v>45686</v>
      </c>
      <c r="I3" s="7">
        <v>45658</v>
      </c>
      <c r="J3" s="7">
        <f>I3+7</f>
        <v>45665</v>
      </c>
      <c r="K3" s="7">
        <f>J3+7</f>
        <v>45672</v>
      </c>
      <c r="L3" s="7">
        <f>K3+7</f>
        <v>45679</v>
      </c>
      <c r="M3" s="7">
        <f>L3+7</f>
        <v>45686</v>
      </c>
      <c r="N3" s="9">
        <v>45658</v>
      </c>
      <c r="O3" s="9">
        <f>N3+7</f>
        <v>45665</v>
      </c>
      <c r="P3" s="9">
        <f>O3+7</f>
        <v>45672</v>
      </c>
      <c r="Q3" s="9">
        <f t="shared" ref="Q3:R3" si="1">P3+7</f>
        <v>45679</v>
      </c>
      <c r="R3" s="9">
        <f t="shared" si="1"/>
        <v>45686</v>
      </c>
      <c r="S3" s="13">
        <v>45658</v>
      </c>
      <c r="T3" s="13">
        <f>S3+7</f>
        <v>45665</v>
      </c>
      <c r="U3" s="13">
        <f t="shared" ref="U3:W3" si="2">T3+7</f>
        <v>45672</v>
      </c>
      <c r="V3" s="13">
        <f t="shared" si="2"/>
        <v>45679</v>
      </c>
      <c r="W3" s="13">
        <f t="shared" si="2"/>
        <v>45686</v>
      </c>
      <c r="X3" s="16">
        <v>45658</v>
      </c>
      <c r="Y3" s="16">
        <f>X3+7</f>
        <v>45665</v>
      </c>
      <c r="Z3" s="16">
        <f t="shared" ref="Z3:AB3" si="3">Y3+7</f>
        <v>45672</v>
      </c>
      <c r="AA3" s="16">
        <f t="shared" si="3"/>
        <v>45679</v>
      </c>
      <c r="AB3" s="16">
        <f t="shared" si="3"/>
        <v>45686</v>
      </c>
      <c r="AD3" s="5" t="s">
        <v>10</v>
      </c>
    </row>
    <row r="4" spans="1:30">
      <c r="A4" t="s">
        <v>11</v>
      </c>
      <c r="B4" t="s">
        <v>12</v>
      </c>
      <c r="C4" s="1">
        <v>200</v>
      </c>
      <c r="D4" s="4">
        <v>40</v>
      </c>
      <c r="E4" s="4">
        <v>42</v>
      </c>
      <c r="F4" s="4">
        <v>39</v>
      </c>
      <c r="G4" s="4">
        <v>30</v>
      </c>
      <c r="H4" s="4">
        <v>46</v>
      </c>
      <c r="I4" s="6">
        <f>IF(D4&gt;40,D4-40,0)</f>
        <v>0</v>
      </c>
      <c r="J4" s="6">
        <f>IF(E4&gt;40,E4-40,0)</f>
        <v>2</v>
      </c>
      <c r="K4" s="6">
        <f>IF(F4&gt;40,F4-40,0)</f>
        <v>0</v>
      </c>
      <c r="L4" s="6">
        <f>IF(G4&gt;40,G4-40,0)</f>
        <v>0</v>
      </c>
      <c r="M4" s="6">
        <f>IF(H4&gt;40,H4-40,0)</f>
        <v>6</v>
      </c>
      <c r="N4" s="11">
        <f>$C4*D4</f>
        <v>8000</v>
      </c>
      <c r="O4" s="11">
        <f>$C4*E4</f>
        <v>8400</v>
      </c>
      <c r="P4" s="11">
        <f>$C4*F4</f>
        <v>7800</v>
      </c>
      <c r="Q4" s="11">
        <f>$C4*G4</f>
        <v>6000</v>
      </c>
      <c r="R4" s="11">
        <f>$C4*H4</f>
        <v>9200</v>
      </c>
      <c r="S4" s="14">
        <f>0.5*$C4*I4</f>
        <v>0</v>
      </c>
      <c r="T4" s="14">
        <f t="shared" ref="T4:W19" si="4">0.5*$C4*J4</f>
        <v>200</v>
      </c>
      <c r="U4" s="14">
        <f t="shared" si="4"/>
        <v>0</v>
      </c>
      <c r="V4" s="14">
        <f t="shared" si="4"/>
        <v>0</v>
      </c>
      <c r="W4" s="14">
        <f t="shared" si="4"/>
        <v>600</v>
      </c>
      <c r="X4" s="17">
        <f>N4+S4</f>
        <v>8000</v>
      </c>
      <c r="Y4" s="17">
        <f t="shared" ref="Y4:AB19" si="5">O4+T4</f>
        <v>8600</v>
      </c>
      <c r="Z4" s="17">
        <f t="shared" si="5"/>
        <v>7800</v>
      </c>
      <c r="AA4" s="17">
        <f t="shared" si="5"/>
        <v>6000</v>
      </c>
      <c r="AB4" s="17">
        <f t="shared" si="5"/>
        <v>9800</v>
      </c>
      <c r="AD4" s="10">
        <f>N4+O4+P4+Q4+R4</f>
        <v>39400</v>
      </c>
    </row>
    <row r="5" spans="1:30">
      <c r="A5" t="s">
        <v>13</v>
      </c>
      <c r="B5" t="s">
        <v>14</v>
      </c>
      <c r="C5" s="1">
        <v>180</v>
      </c>
      <c r="D5" s="4">
        <v>42</v>
      </c>
      <c r="E5" s="4">
        <v>41</v>
      </c>
      <c r="F5" s="4">
        <v>40</v>
      </c>
      <c r="G5" s="4">
        <v>38</v>
      </c>
      <c r="H5" s="4">
        <v>44</v>
      </c>
      <c r="I5" s="6">
        <f>IF(D5&gt;40,D5-40,0)</f>
        <v>2</v>
      </c>
      <c r="J5" s="6">
        <f>IF(E5&gt;40,E5-40,0)</f>
        <v>1</v>
      </c>
      <c r="K5" s="6">
        <f>IF(F5&gt;40,F5-40,0)</f>
        <v>0</v>
      </c>
      <c r="L5" s="6">
        <f>IF(G5&gt;40,G5-40,0)</f>
        <v>0</v>
      </c>
      <c r="M5" s="6">
        <f>IF(H5&gt;40,H5-40,0)</f>
        <v>4</v>
      </c>
      <c r="N5" s="11">
        <f t="shared" ref="N5:R20" si="6">$C5*D5</f>
        <v>7560</v>
      </c>
      <c r="O5" s="11">
        <f t="shared" si="6"/>
        <v>7380</v>
      </c>
      <c r="P5" s="11">
        <f t="shared" si="6"/>
        <v>7200</v>
      </c>
      <c r="Q5" s="11">
        <f t="shared" si="6"/>
        <v>6840</v>
      </c>
      <c r="R5" s="11">
        <f t="shared" si="6"/>
        <v>7920</v>
      </c>
      <c r="S5" s="14">
        <f t="shared" ref="S5:S20" si="7">0.5*$C5*I5</f>
        <v>180</v>
      </c>
      <c r="T5" s="14">
        <f t="shared" si="4"/>
        <v>90</v>
      </c>
      <c r="U5" s="14">
        <f t="shared" si="4"/>
        <v>0</v>
      </c>
      <c r="V5" s="14">
        <f t="shared" si="4"/>
        <v>0</v>
      </c>
      <c r="W5" s="14">
        <f t="shared" si="4"/>
        <v>360</v>
      </c>
      <c r="X5" s="17">
        <f t="shared" ref="X5:X20" si="8">N5+S5</f>
        <v>7740</v>
      </c>
      <c r="Y5" s="17">
        <f t="shared" si="5"/>
        <v>7470</v>
      </c>
      <c r="Z5" s="17">
        <f t="shared" si="5"/>
        <v>7200</v>
      </c>
      <c r="AA5" s="17">
        <f t="shared" si="5"/>
        <v>6840</v>
      </c>
      <c r="AB5" s="17">
        <f t="shared" si="5"/>
        <v>8280</v>
      </c>
      <c r="AD5" s="10">
        <f t="shared" ref="AD5:AD21" si="9">N5+O5+P5+Q5+R5</f>
        <v>36900</v>
      </c>
    </row>
    <row r="6" spans="1:30">
      <c r="A6" t="s">
        <v>15</v>
      </c>
      <c r="B6" t="s">
        <v>16</v>
      </c>
      <c r="C6" s="1">
        <v>220</v>
      </c>
      <c r="D6" s="4">
        <v>49</v>
      </c>
      <c r="E6" s="4">
        <v>40</v>
      </c>
      <c r="F6" s="4">
        <v>33</v>
      </c>
      <c r="G6" s="4">
        <v>20</v>
      </c>
      <c r="H6" s="4">
        <v>18</v>
      </c>
      <c r="I6" s="6">
        <f>IF(D6&gt;40,D6-40,0)</f>
        <v>9</v>
      </c>
      <c r="J6" s="6">
        <f>IF(E6&gt;40,E6-40,0)</f>
        <v>0</v>
      </c>
      <c r="K6" s="6">
        <f>IF(F6&gt;40,F6-40,0)</f>
        <v>0</v>
      </c>
      <c r="L6" s="6">
        <f>IF(G6&gt;40,G6-40,0)</f>
        <v>0</v>
      </c>
      <c r="M6" s="6">
        <f>IF(H6&gt;40,H6-40,0)</f>
        <v>0</v>
      </c>
      <c r="N6" s="11">
        <f t="shared" si="6"/>
        <v>10780</v>
      </c>
      <c r="O6" s="11">
        <f t="shared" si="6"/>
        <v>8800</v>
      </c>
      <c r="P6" s="11">
        <f t="shared" si="6"/>
        <v>7260</v>
      </c>
      <c r="Q6" s="11">
        <f t="shared" si="6"/>
        <v>4400</v>
      </c>
      <c r="R6" s="11">
        <f t="shared" si="6"/>
        <v>3960</v>
      </c>
      <c r="S6" s="14">
        <f t="shared" si="7"/>
        <v>990</v>
      </c>
      <c r="T6" s="14">
        <f t="shared" si="4"/>
        <v>0</v>
      </c>
      <c r="U6" s="14">
        <f t="shared" si="4"/>
        <v>0</v>
      </c>
      <c r="V6" s="14">
        <f t="shared" si="4"/>
        <v>0</v>
      </c>
      <c r="W6" s="14">
        <f t="shared" si="4"/>
        <v>0</v>
      </c>
      <c r="X6" s="17">
        <f t="shared" si="8"/>
        <v>11770</v>
      </c>
      <c r="Y6" s="17">
        <f t="shared" si="5"/>
        <v>8800</v>
      </c>
      <c r="Z6" s="17">
        <f t="shared" si="5"/>
        <v>7260</v>
      </c>
      <c r="AA6" s="17">
        <f t="shared" si="5"/>
        <v>4400</v>
      </c>
      <c r="AB6" s="17">
        <f t="shared" si="5"/>
        <v>3960</v>
      </c>
      <c r="AD6" s="10">
        <f t="shared" si="9"/>
        <v>35200</v>
      </c>
    </row>
    <row r="7" spans="1:30">
      <c r="A7" t="s">
        <v>17</v>
      </c>
      <c r="B7" t="s">
        <v>18</v>
      </c>
      <c r="C7" s="1">
        <v>150</v>
      </c>
      <c r="D7" s="4">
        <v>41</v>
      </c>
      <c r="E7" s="4">
        <v>50</v>
      </c>
      <c r="F7" s="4">
        <v>47</v>
      </c>
      <c r="G7" s="4">
        <v>30</v>
      </c>
      <c r="H7" s="4">
        <v>39</v>
      </c>
      <c r="I7" s="6">
        <f>IF(D7&gt;40,D7-40,0)</f>
        <v>1</v>
      </c>
      <c r="J7" s="6">
        <f>IF(E7&gt;40,E7-40,0)</f>
        <v>10</v>
      </c>
      <c r="K7" s="6">
        <f>IF(F7&gt;40,F7-40,0)</f>
        <v>7</v>
      </c>
      <c r="L7" s="6">
        <f>IF(G7&gt;40,G7-40,0)</f>
        <v>0</v>
      </c>
      <c r="M7" s="6">
        <f>IF(H7&gt;40,H7-40,0)</f>
        <v>0</v>
      </c>
      <c r="N7" s="11">
        <f t="shared" si="6"/>
        <v>6150</v>
      </c>
      <c r="O7" s="11">
        <f t="shared" si="6"/>
        <v>7500</v>
      </c>
      <c r="P7" s="11">
        <f t="shared" si="6"/>
        <v>7050</v>
      </c>
      <c r="Q7" s="11">
        <f t="shared" si="6"/>
        <v>4500</v>
      </c>
      <c r="R7" s="11">
        <f t="shared" si="6"/>
        <v>5850</v>
      </c>
      <c r="S7" s="14">
        <f t="shared" si="7"/>
        <v>75</v>
      </c>
      <c r="T7" s="14">
        <f t="shared" si="4"/>
        <v>750</v>
      </c>
      <c r="U7" s="14">
        <f t="shared" si="4"/>
        <v>525</v>
      </c>
      <c r="V7" s="14">
        <f t="shared" si="4"/>
        <v>0</v>
      </c>
      <c r="W7" s="14">
        <f t="shared" si="4"/>
        <v>0</v>
      </c>
      <c r="X7" s="17">
        <f t="shared" si="8"/>
        <v>6225</v>
      </c>
      <c r="Y7" s="17">
        <f t="shared" si="5"/>
        <v>8250</v>
      </c>
      <c r="Z7" s="17">
        <f t="shared" si="5"/>
        <v>7575</v>
      </c>
      <c r="AA7" s="17">
        <f t="shared" si="5"/>
        <v>4500</v>
      </c>
      <c r="AB7" s="17">
        <f t="shared" si="5"/>
        <v>5850</v>
      </c>
      <c r="AD7" s="10">
        <f t="shared" si="9"/>
        <v>31050</v>
      </c>
    </row>
    <row r="8" spans="1:30">
      <c r="A8" t="s">
        <v>19</v>
      </c>
      <c r="B8" t="s">
        <v>20</v>
      </c>
      <c r="C8" s="1">
        <v>200</v>
      </c>
      <c r="D8" s="4">
        <v>39</v>
      </c>
      <c r="E8" s="4">
        <v>52</v>
      </c>
      <c r="F8" s="4">
        <v>42</v>
      </c>
      <c r="G8" s="4">
        <v>40</v>
      </c>
      <c r="H8" s="4">
        <v>40</v>
      </c>
      <c r="I8" s="6">
        <f>IF(D8&gt;40,D8-40,0)</f>
        <v>0</v>
      </c>
      <c r="J8" s="6">
        <f>IF(E8&gt;40,E8-40,0)</f>
        <v>12</v>
      </c>
      <c r="K8" s="6">
        <f>IF(F8&gt;40,F8-40,0)</f>
        <v>2</v>
      </c>
      <c r="L8" s="6">
        <f>IF(G8&gt;40,G8-40,0)</f>
        <v>0</v>
      </c>
      <c r="M8" s="6">
        <f>IF(H8&gt;40,H8-40,0)</f>
        <v>0</v>
      </c>
      <c r="N8" s="11">
        <f t="shared" si="6"/>
        <v>7800</v>
      </c>
      <c r="O8" s="11">
        <f t="shared" si="6"/>
        <v>10400</v>
      </c>
      <c r="P8" s="11">
        <f t="shared" si="6"/>
        <v>8400</v>
      </c>
      <c r="Q8" s="11">
        <f t="shared" si="6"/>
        <v>8000</v>
      </c>
      <c r="R8" s="11">
        <f t="shared" si="6"/>
        <v>8000</v>
      </c>
      <c r="S8" s="14">
        <f t="shared" si="7"/>
        <v>0</v>
      </c>
      <c r="T8" s="14">
        <f t="shared" si="4"/>
        <v>1200</v>
      </c>
      <c r="U8" s="14">
        <f t="shared" si="4"/>
        <v>200</v>
      </c>
      <c r="V8" s="14">
        <f t="shared" si="4"/>
        <v>0</v>
      </c>
      <c r="W8" s="14">
        <f t="shared" si="4"/>
        <v>0</v>
      </c>
      <c r="X8" s="17">
        <f t="shared" si="8"/>
        <v>7800</v>
      </c>
      <c r="Y8" s="17">
        <f t="shared" si="5"/>
        <v>11600</v>
      </c>
      <c r="Z8" s="17">
        <f t="shared" si="5"/>
        <v>8600</v>
      </c>
      <c r="AA8" s="17">
        <f t="shared" si="5"/>
        <v>8000</v>
      </c>
      <c r="AB8" s="17">
        <f t="shared" si="5"/>
        <v>8000</v>
      </c>
      <c r="AD8" s="10">
        <f t="shared" si="9"/>
        <v>42600</v>
      </c>
    </row>
    <row r="9" spans="1:30">
      <c r="A9" t="s">
        <v>21</v>
      </c>
      <c r="B9" t="s">
        <v>22</v>
      </c>
      <c r="C9" s="1">
        <v>180</v>
      </c>
      <c r="D9" s="4">
        <v>44</v>
      </c>
      <c r="E9" s="4">
        <v>51</v>
      </c>
      <c r="F9" s="4">
        <v>42</v>
      </c>
      <c r="G9" s="4">
        <v>40</v>
      </c>
      <c r="H9" s="4">
        <v>20</v>
      </c>
      <c r="I9" s="6">
        <f>IF(D9&gt;40,D9-40,0)</f>
        <v>4</v>
      </c>
      <c r="J9" s="6">
        <f>IF(E9&gt;40,E9-40,0)</f>
        <v>11</v>
      </c>
      <c r="K9" s="6">
        <f>IF(F9&gt;40,F9-40,0)</f>
        <v>2</v>
      </c>
      <c r="L9" s="6">
        <f>IF(G9&gt;40,G9-40,0)</f>
        <v>0</v>
      </c>
      <c r="M9" s="6">
        <f>IF(H9&gt;40,H9-40,0)</f>
        <v>0</v>
      </c>
      <c r="N9" s="11">
        <f t="shared" si="6"/>
        <v>7920</v>
      </c>
      <c r="O9" s="11">
        <f t="shared" si="6"/>
        <v>9180</v>
      </c>
      <c r="P9" s="11">
        <f t="shared" si="6"/>
        <v>7560</v>
      </c>
      <c r="Q9" s="11">
        <f t="shared" si="6"/>
        <v>7200</v>
      </c>
      <c r="R9" s="11">
        <f t="shared" si="6"/>
        <v>3600</v>
      </c>
      <c r="S9" s="14">
        <f t="shared" si="7"/>
        <v>360</v>
      </c>
      <c r="T9" s="14">
        <f t="shared" si="4"/>
        <v>990</v>
      </c>
      <c r="U9" s="14">
        <f t="shared" si="4"/>
        <v>180</v>
      </c>
      <c r="V9" s="14">
        <f t="shared" si="4"/>
        <v>0</v>
      </c>
      <c r="W9" s="14">
        <f t="shared" si="4"/>
        <v>0</v>
      </c>
      <c r="X9" s="17">
        <f t="shared" si="8"/>
        <v>8280</v>
      </c>
      <c r="Y9" s="17">
        <f t="shared" si="5"/>
        <v>10170</v>
      </c>
      <c r="Z9" s="17">
        <f t="shared" si="5"/>
        <v>7740</v>
      </c>
      <c r="AA9" s="17">
        <f t="shared" si="5"/>
        <v>7200</v>
      </c>
      <c r="AB9" s="17">
        <f t="shared" si="5"/>
        <v>3600</v>
      </c>
      <c r="AD9" s="10">
        <f t="shared" si="9"/>
        <v>35460</v>
      </c>
    </row>
    <row r="10" spans="1:30">
      <c r="A10" t="s">
        <v>23</v>
      </c>
      <c r="B10" t="s">
        <v>24</v>
      </c>
      <c r="C10" s="1">
        <v>170</v>
      </c>
      <c r="D10" s="4">
        <v>55</v>
      </c>
      <c r="E10" s="4">
        <v>60</v>
      </c>
      <c r="F10" s="4">
        <v>45</v>
      </c>
      <c r="G10" s="4">
        <v>40</v>
      </c>
      <c r="H10" s="4">
        <v>49</v>
      </c>
      <c r="I10" s="6">
        <f>IF(D10&gt;40,D10-40,0)</f>
        <v>15</v>
      </c>
      <c r="J10" s="6">
        <f>IF(E10&gt;40,E10-40,0)</f>
        <v>20</v>
      </c>
      <c r="K10" s="6">
        <f>IF(F10&gt;40,F10-40,0)</f>
        <v>5</v>
      </c>
      <c r="L10" s="6">
        <f>IF(G10&gt;40,G10-40,0)</f>
        <v>0</v>
      </c>
      <c r="M10" s="6">
        <f>IF(H10&gt;40,H10-40,0)</f>
        <v>9</v>
      </c>
      <c r="N10" s="11">
        <f t="shared" si="6"/>
        <v>9350</v>
      </c>
      <c r="O10" s="11">
        <f t="shared" si="6"/>
        <v>10200</v>
      </c>
      <c r="P10" s="11">
        <f t="shared" si="6"/>
        <v>7650</v>
      </c>
      <c r="Q10" s="11">
        <f t="shared" si="6"/>
        <v>6800</v>
      </c>
      <c r="R10" s="11">
        <f t="shared" si="6"/>
        <v>8330</v>
      </c>
      <c r="S10" s="14">
        <f t="shared" si="7"/>
        <v>1275</v>
      </c>
      <c r="T10" s="14">
        <f t="shared" si="4"/>
        <v>1700</v>
      </c>
      <c r="U10" s="14">
        <f t="shared" si="4"/>
        <v>425</v>
      </c>
      <c r="V10" s="14">
        <f t="shared" si="4"/>
        <v>0</v>
      </c>
      <c r="W10" s="14">
        <f t="shared" si="4"/>
        <v>765</v>
      </c>
      <c r="X10" s="17">
        <f t="shared" si="8"/>
        <v>10625</v>
      </c>
      <c r="Y10" s="17">
        <f t="shared" si="5"/>
        <v>11900</v>
      </c>
      <c r="Z10" s="17">
        <f t="shared" si="5"/>
        <v>8075</v>
      </c>
      <c r="AA10" s="17">
        <f t="shared" si="5"/>
        <v>6800</v>
      </c>
      <c r="AB10" s="17">
        <f t="shared" si="5"/>
        <v>9095</v>
      </c>
      <c r="AD10" s="10">
        <f t="shared" si="9"/>
        <v>42330</v>
      </c>
    </row>
    <row r="11" spans="1:30">
      <c r="A11" t="s">
        <v>25</v>
      </c>
      <c r="B11" t="s">
        <v>26</v>
      </c>
      <c r="C11" s="1">
        <v>160</v>
      </c>
      <c r="D11" s="4">
        <v>33</v>
      </c>
      <c r="E11" s="4">
        <v>22</v>
      </c>
      <c r="F11" s="4">
        <v>54</v>
      </c>
      <c r="G11" s="4">
        <v>40</v>
      </c>
      <c r="H11" s="4">
        <v>20</v>
      </c>
      <c r="I11" s="6">
        <f>IF(D11&gt;40,D11-40,0)</f>
        <v>0</v>
      </c>
      <c r="J11" s="6">
        <f>IF(E11&gt;40,E11-40,0)</f>
        <v>0</v>
      </c>
      <c r="K11" s="6">
        <f>IF(F11&gt;40,F11-40,0)</f>
        <v>14</v>
      </c>
      <c r="L11" s="6">
        <f>IF(G11&gt;40,G11-40,0)</f>
        <v>0</v>
      </c>
      <c r="M11" s="6">
        <f>IF(H11&gt;40,H11-40,0)</f>
        <v>0</v>
      </c>
      <c r="N11" s="11">
        <f t="shared" si="6"/>
        <v>5280</v>
      </c>
      <c r="O11" s="11">
        <f t="shared" si="6"/>
        <v>3520</v>
      </c>
      <c r="P11" s="11">
        <f t="shared" si="6"/>
        <v>8640</v>
      </c>
      <c r="Q11" s="11">
        <f t="shared" si="6"/>
        <v>6400</v>
      </c>
      <c r="R11" s="11">
        <f t="shared" si="6"/>
        <v>3200</v>
      </c>
      <c r="S11" s="14">
        <f t="shared" si="7"/>
        <v>0</v>
      </c>
      <c r="T11" s="14">
        <f t="shared" si="4"/>
        <v>0</v>
      </c>
      <c r="U11" s="14">
        <f t="shared" si="4"/>
        <v>1120</v>
      </c>
      <c r="V11" s="14">
        <f t="shared" si="4"/>
        <v>0</v>
      </c>
      <c r="W11" s="14">
        <f t="shared" si="4"/>
        <v>0</v>
      </c>
      <c r="X11" s="17">
        <f t="shared" si="8"/>
        <v>5280</v>
      </c>
      <c r="Y11" s="17">
        <f t="shared" si="5"/>
        <v>3520</v>
      </c>
      <c r="Z11" s="17">
        <f t="shared" si="5"/>
        <v>9760</v>
      </c>
      <c r="AA11" s="17">
        <f t="shared" si="5"/>
        <v>6400</v>
      </c>
      <c r="AB11" s="17">
        <f t="shared" si="5"/>
        <v>3200</v>
      </c>
      <c r="AD11" s="10">
        <f t="shared" si="9"/>
        <v>27040</v>
      </c>
    </row>
    <row r="12" spans="1:30">
      <c r="A12" t="s">
        <v>27</v>
      </c>
      <c r="B12" t="s">
        <v>28</v>
      </c>
      <c r="C12" s="1">
        <v>200</v>
      </c>
      <c r="D12" s="4">
        <v>29</v>
      </c>
      <c r="E12" s="4">
        <v>40</v>
      </c>
      <c r="F12" s="4">
        <v>42</v>
      </c>
      <c r="G12" s="4">
        <v>40</v>
      </c>
      <c r="H12" s="4">
        <v>40</v>
      </c>
      <c r="I12" s="6">
        <f>IF(D12&gt;40,D12-40,0)</f>
        <v>0</v>
      </c>
      <c r="J12" s="6">
        <f>IF(E12&gt;40,E12-40,0)</f>
        <v>0</v>
      </c>
      <c r="K12" s="6">
        <f>IF(F12&gt;40,F12-40,0)</f>
        <v>2</v>
      </c>
      <c r="L12" s="6">
        <f>IF(G12&gt;40,G12-40,0)</f>
        <v>0</v>
      </c>
      <c r="M12" s="6">
        <f>IF(H12&gt;40,H12-40,0)</f>
        <v>0</v>
      </c>
      <c r="N12" s="11">
        <f t="shared" si="6"/>
        <v>5800</v>
      </c>
      <c r="O12" s="11">
        <f t="shared" si="6"/>
        <v>8000</v>
      </c>
      <c r="P12" s="11">
        <f t="shared" si="6"/>
        <v>8400</v>
      </c>
      <c r="Q12" s="11">
        <f t="shared" si="6"/>
        <v>8000</v>
      </c>
      <c r="R12" s="11">
        <f t="shared" si="6"/>
        <v>8000</v>
      </c>
      <c r="S12" s="14">
        <f t="shared" si="7"/>
        <v>0</v>
      </c>
      <c r="T12" s="14">
        <f t="shared" si="4"/>
        <v>0</v>
      </c>
      <c r="U12" s="14">
        <f t="shared" si="4"/>
        <v>200</v>
      </c>
      <c r="V12" s="14">
        <f t="shared" si="4"/>
        <v>0</v>
      </c>
      <c r="W12" s="14">
        <f t="shared" si="4"/>
        <v>0</v>
      </c>
      <c r="X12" s="17">
        <f t="shared" si="8"/>
        <v>5800</v>
      </c>
      <c r="Y12" s="17">
        <f t="shared" si="5"/>
        <v>8000</v>
      </c>
      <c r="Z12" s="17">
        <f t="shared" si="5"/>
        <v>8600</v>
      </c>
      <c r="AA12" s="17">
        <f t="shared" si="5"/>
        <v>8000</v>
      </c>
      <c r="AB12" s="17">
        <f t="shared" si="5"/>
        <v>8000</v>
      </c>
      <c r="AD12" s="10">
        <f t="shared" si="9"/>
        <v>38200</v>
      </c>
    </row>
    <row r="13" spans="1:30">
      <c r="A13" t="s">
        <v>29</v>
      </c>
      <c r="B13" t="s">
        <v>30</v>
      </c>
      <c r="C13" s="1">
        <v>185</v>
      </c>
      <c r="D13" s="4">
        <v>40</v>
      </c>
      <c r="E13" s="4">
        <v>40</v>
      </c>
      <c r="F13" s="4">
        <v>42</v>
      </c>
      <c r="G13" s="4">
        <v>40</v>
      </c>
      <c r="H13" s="4">
        <v>40</v>
      </c>
      <c r="I13" s="6">
        <f>IF(D13&gt;40,D13-40,0)</f>
        <v>0</v>
      </c>
      <c r="J13" s="6">
        <f>IF(E13&gt;40,E13-40,0)</f>
        <v>0</v>
      </c>
      <c r="K13" s="6">
        <f>IF(F13&gt;40,F13-40,0)</f>
        <v>2</v>
      </c>
      <c r="L13" s="6">
        <f>IF(G13&gt;40,G13-40,0)</f>
        <v>0</v>
      </c>
      <c r="M13" s="6">
        <f>IF(H13&gt;40,H13-40,0)</f>
        <v>0</v>
      </c>
      <c r="N13" s="11">
        <f t="shared" si="6"/>
        <v>7400</v>
      </c>
      <c r="O13" s="11">
        <f t="shared" si="6"/>
        <v>7400</v>
      </c>
      <c r="P13" s="11">
        <f t="shared" si="6"/>
        <v>7770</v>
      </c>
      <c r="Q13" s="11">
        <f t="shared" si="6"/>
        <v>7400</v>
      </c>
      <c r="R13" s="11">
        <f t="shared" si="6"/>
        <v>7400</v>
      </c>
      <c r="S13" s="14">
        <f t="shared" si="7"/>
        <v>0</v>
      </c>
      <c r="T13" s="14">
        <f t="shared" si="4"/>
        <v>0</v>
      </c>
      <c r="U13" s="14">
        <f t="shared" si="4"/>
        <v>185</v>
      </c>
      <c r="V13" s="14">
        <f t="shared" si="4"/>
        <v>0</v>
      </c>
      <c r="W13" s="14">
        <f t="shared" si="4"/>
        <v>0</v>
      </c>
      <c r="X13" s="17">
        <f t="shared" si="8"/>
        <v>7400</v>
      </c>
      <c r="Y13" s="17">
        <f t="shared" si="5"/>
        <v>7400</v>
      </c>
      <c r="Z13" s="17">
        <f t="shared" si="5"/>
        <v>7955</v>
      </c>
      <c r="AA13" s="17">
        <f t="shared" si="5"/>
        <v>7400</v>
      </c>
      <c r="AB13" s="17">
        <f t="shared" si="5"/>
        <v>7400</v>
      </c>
      <c r="AD13" s="10">
        <f t="shared" si="9"/>
        <v>37370</v>
      </c>
    </row>
    <row r="14" spans="1:30">
      <c r="A14" t="s">
        <v>31</v>
      </c>
      <c r="B14" t="s">
        <v>32</v>
      </c>
      <c r="C14" s="1">
        <v>210</v>
      </c>
      <c r="D14" s="4">
        <v>40</v>
      </c>
      <c r="E14" s="4">
        <v>40</v>
      </c>
      <c r="F14" s="4">
        <v>42</v>
      </c>
      <c r="G14" s="4">
        <v>39</v>
      </c>
      <c r="H14" s="4">
        <v>40</v>
      </c>
      <c r="I14" s="6">
        <f>IF(D14&gt;40,D14-40,0)</f>
        <v>0</v>
      </c>
      <c r="J14" s="6">
        <f>IF(E14&gt;40,E14-40,0)</f>
        <v>0</v>
      </c>
      <c r="K14" s="6">
        <f>IF(F14&gt;40,F14-40,0)</f>
        <v>2</v>
      </c>
      <c r="L14" s="6">
        <f>IF(G14&gt;40,G14-40,0)</f>
        <v>0</v>
      </c>
      <c r="M14" s="6">
        <f>IF(H14&gt;40,H14-40,0)</f>
        <v>0</v>
      </c>
      <c r="N14" s="11">
        <f t="shared" si="6"/>
        <v>8400</v>
      </c>
      <c r="O14" s="11">
        <f t="shared" si="6"/>
        <v>8400</v>
      </c>
      <c r="P14" s="11">
        <f t="shared" si="6"/>
        <v>8820</v>
      </c>
      <c r="Q14" s="11">
        <f t="shared" si="6"/>
        <v>8190</v>
      </c>
      <c r="R14" s="11">
        <f t="shared" si="6"/>
        <v>8400</v>
      </c>
      <c r="S14" s="14">
        <f t="shared" si="7"/>
        <v>0</v>
      </c>
      <c r="T14" s="14">
        <f t="shared" si="4"/>
        <v>0</v>
      </c>
      <c r="U14" s="14">
        <f t="shared" si="4"/>
        <v>210</v>
      </c>
      <c r="V14" s="14">
        <f t="shared" si="4"/>
        <v>0</v>
      </c>
      <c r="W14" s="14">
        <f t="shared" si="4"/>
        <v>0</v>
      </c>
      <c r="X14" s="17">
        <f t="shared" si="8"/>
        <v>8400</v>
      </c>
      <c r="Y14" s="17">
        <f t="shared" si="5"/>
        <v>8400</v>
      </c>
      <c r="Z14" s="17">
        <f t="shared" si="5"/>
        <v>9030</v>
      </c>
      <c r="AA14" s="17">
        <f t="shared" si="5"/>
        <v>8190</v>
      </c>
      <c r="AB14" s="17">
        <f t="shared" si="5"/>
        <v>8400</v>
      </c>
      <c r="AD14" s="10">
        <f t="shared" si="9"/>
        <v>42210</v>
      </c>
    </row>
    <row r="15" spans="1:30">
      <c r="A15" t="s">
        <v>33</v>
      </c>
      <c r="B15" t="s">
        <v>34</v>
      </c>
      <c r="C15" s="1">
        <v>190</v>
      </c>
      <c r="D15" s="4">
        <v>40</v>
      </c>
      <c r="E15" s="4">
        <v>40</v>
      </c>
      <c r="F15" s="4">
        <v>41</v>
      </c>
      <c r="G15" s="4">
        <v>42</v>
      </c>
      <c r="H15" s="4">
        <v>40</v>
      </c>
      <c r="I15" s="6">
        <f>IF(D15&gt;40,D15-40,0)</f>
        <v>0</v>
      </c>
      <c r="J15" s="6">
        <f>IF(E15&gt;40,E15-40,0)</f>
        <v>0</v>
      </c>
      <c r="K15" s="6">
        <f>IF(F15&gt;40,F15-40,0)</f>
        <v>1</v>
      </c>
      <c r="L15" s="6">
        <f>IF(G15&gt;40,G15-40,0)</f>
        <v>2</v>
      </c>
      <c r="M15" s="6">
        <f>IF(H15&gt;40,H15-40,0)</f>
        <v>0</v>
      </c>
      <c r="N15" s="11">
        <f t="shared" si="6"/>
        <v>7600</v>
      </c>
      <c r="O15" s="11">
        <f t="shared" si="6"/>
        <v>7600</v>
      </c>
      <c r="P15" s="11">
        <f t="shared" si="6"/>
        <v>7790</v>
      </c>
      <c r="Q15" s="11">
        <f t="shared" si="6"/>
        <v>7980</v>
      </c>
      <c r="R15" s="11">
        <f t="shared" si="6"/>
        <v>7600</v>
      </c>
      <c r="S15" s="14">
        <f t="shared" si="7"/>
        <v>0</v>
      </c>
      <c r="T15" s="14">
        <f t="shared" si="4"/>
        <v>0</v>
      </c>
      <c r="U15" s="14">
        <f t="shared" si="4"/>
        <v>95</v>
      </c>
      <c r="V15" s="14">
        <f t="shared" si="4"/>
        <v>190</v>
      </c>
      <c r="W15" s="14">
        <f t="shared" si="4"/>
        <v>0</v>
      </c>
      <c r="X15" s="17">
        <f t="shared" si="8"/>
        <v>7600</v>
      </c>
      <c r="Y15" s="17">
        <f t="shared" si="5"/>
        <v>7600</v>
      </c>
      <c r="Z15" s="17">
        <f t="shared" si="5"/>
        <v>7885</v>
      </c>
      <c r="AA15" s="17">
        <f t="shared" si="5"/>
        <v>8170</v>
      </c>
      <c r="AB15" s="17">
        <f t="shared" si="5"/>
        <v>7600</v>
      </c>
      <c r="AD15" s="10">
        <f t="shared" si="9"/>
        <v>38570</v>
      </c>
    </row>
    <row r="16" spans="1:30">
      <c r="A16" t="s">
        <v>35</v>
      </c>
      <c r="B16" t="s">
        <v>36</v>
      </c>
      <c r="C16" s="1">
        <v>150</v>
      </c>
      <c r="D16" s="4">
        <v>42</v>
      </c>
      <c r="E16" s="4">
        <v>42</v>
      </c>
      <c r="F16" s="4">
        <v>39</v>
      </c>
      <c r="G16" s="4">
        <v>42</v>
      </c>
      <c r="H16" s="4">
        <v>40</v>
      </c>
      <c r="I16" s="6">
        <f>IF(D16&gt;40,D16-40,0)</f>
        <v>2</v>
      </c>
      <c r="J16" s="6">
        <f>IF(E16&gt;40,E16-40,0)</f>
        <v>2</v>
      </c>
      <c r="K16" s="6">
        <f>IF(F16&gt;40,F16-40,0)</f>
        <v>0</v>
      </c>
      <c r="L16" s="6">
        <f>IF(G16&gt;40,G16-40,0)</f>
        <v>2</v>
      </c>
      <c r="M16" s="6">
        <f>IF(H16&gt;40,H16-40,0)</f>
        <v>0</v>
      </c>
      <c r="N16" s="11">
        <f t="shared" si="6"/>
        <v>6300</v>
      </c>
      <c r="O16" s="11">
        <f t="shared" si="6"/>
        <v>6300</v>
      </c>
      <c r="P16" s="11">
        <f t="shared" si="6"/>
        <v>5850</v>
      </c>
      <c r="Q16" s="11">
        <f t="shared" si="6"/>
        <v>6300</v>
      </c>
      <c r="R16" s="11">
        <f t="shared" si="6"/>
        <v>6000</v>
      </c>
      <c r="S16" s="14">
        <f t="shared" si="7"/>
        <v>150</v>
      </c>
      <c r="T16" s="14">
        <f t="shared" si="4"/>
        <v>150</v>
      </c>
      <c r="U16" s="14">
        <f t="shared" si="4"/>
        <v>0</v>
      </c>
      <c r="V16" s="14">
        <f t="shared" si="4"/>
        <v>150</v>
      </c>
      <c r="W16" s="14">
        <f t="shared" si="4"/>
        <v>0</v>
      </c>
      <c r="X16" s="17">
        <f t="shared" si="8"/>
        <v>6450</v>
      </c>
      <c r="Y16" s="17">
        <f t="shared" si="5"/>
        <v>6450</v>
      </c>
      <c r="Z16" s="17">
        <f t="shared" si="5"/>
        <v>5850</v>
      </c>
      <c r="AA16" s="17">
        <f t="shared" si="5"/>
        <v>6450</v>
      </c>
      <c r="AB16" s="17">
        <f t="shared" si="5"/>
        <v>6000</v>
      </c>
      <c r="AD16" s="10">
        <f t="shared" si="9"/>
        <v>30750</v>
      </c>
    </row>
    <row r="17" spans="1:30">
      <c r="A17" t="s">
        <v>37</v>
      </c>
      <c r="B17" t="s">
        <v>38</v>
      </c>
      <c r="C17" s="1">
        <v>220</v>
      </c>
      <c r="D17" s="4">
        <v>40</v>
      </c>
      <c r="E17" s="4">
        <v>43</v>
      </c>
      <c r="F17" s="4">
        <v>39</v>
      </c>
      <c r="G17" s="4">
        <v>41</v>
      </c>
      <c r="H17" s="4">
        <v>40</v>
      </c>
      <c r="I17" s="6">
        <f>IF(D17&gt;40,D17-40,0)</f>
        <v>0</v>
      </c>
      <c r="J17" s="6">
        <f>IF(E17&gt;40,E17-40,0)</f>
        <v>3</v>
      </c>
      <c r="K17" s="6">
        <f>IF(F17&gt;40,F17-40,0)</f>
        <v>0</v>
      </c>
      <c r="L17" s="6">
        <f>IF(G17&gt;40,G17-40,0)</f>
        <v>1</v>
      </c>
      <c r="M17" s="6">
        <f>IF(H17&gt;40,H17-40,0)</f>
        <v>0</v>
      </c>
      <c r="N17" s="11">
        <f t="shared" si="6"/>
        <v>8800</v>
      </c>
      <c r="O17" s="11">
        <f t="shared" si="6"/>
        <v>9460</v>
      </c>
      <c r="P17" s="11">
        <f t="shared" si="6"/>
        <v>8580</v>
      </c>
      <c r="Q17" s="11">
        <f t="shared" si="6"/>
        <v>9020</v>
      </c>
      <c r="R17" s="11">
        <f t="shared" si="6"/>
        <v>8800</v>
      </c>
      <c r="S17" s="14">
        <f t="shared" si="7"/>
        <v>0</v>
      </c>
      <c r="T17" s="14">
        <f t="shared" si="4"/>
        <v>330</v>
      </c>
      <c r="U17" s="14">
        <f t="shared" si="4"/>
        <v>0</v>
      </c>
      <c r="V17" s="14">
        <f t="shared" si="4"/>
        <v>110</v>
      </c>
      <c r="W17" s="14">
        <f t="shared" si="4"/>
        <v>0</v>
      </c>
      <c r="X17" s="17">
        <f t="shared" si="8"/>
        <v>8800</v>
      </c>
      <c r="Y17" s="17">
        <f t="shared" si="5"/>
        <v>9790</v>
      </c>
      <c r="Z17" s="17">
        <f t="shared" si="5"/>
        <v>8580</v>
      </c>
      <c r="AA17" s="17">
        <f t="shared" si="5"/>
        <v>9130</v>
      </c>
      <c r="AB17" s="17">
        <f t="shared" si="5"/>
        <v>8800</v>
      </c>
      <c r="AD17" s="10">
        <f t="shared" si="9"/>
        <v>44660</v>
      </c>
    </row>
    <row r="18" spans="1:30">
      <c r="A18" t="s">
        <v>39</v>
      </c>
      <c r="B18" t="s">
        <v>40</v>
      </c>
      <c r="C18" s="1">
        <v>200</v>
      </c>
      <c r="D18" s="4">
        <v>40</v>
      </c>
      <c r="E18" s="4">
        <v>42</v>
      </c>
      <c r="F18" s="4">
        <v>39</v>
      </c>
      <c r="G18" s="4">
        <v>40</v>
      </c>
      <c r="H18" s="4">
        <v>40</v>
      </c>
      <c r="I18" s="6">
        <f>IF(D18&gt;40,D18-40,0)</f>
        <v>0</v>
      </c>
      <c r="J18" s="6">
        <f>IF(E18&gt;40,E18-40,0)</f>
        <v>2</v>
      </c>
      <c r="K18" s="6">
        <f>IF(F18&gt;40,F18-40,0)</f>
        <v>0</v>
      </c>
      <c r="L18" s="6">
        <f>IF(G18&gt;40,G18-40,0)</f>
        <v>0</v>
      </c>
      <c r="M18" s="6">
        <f>IF(H18&gt;40,H18-40,0)</f>
        <v>0</v>
      </c>
      <c r="N18" s="11">
        <f t="shared" si="6"/>
        <v>8000</v>
      </c>
      <c r="O18" s="11">
        <f t="shared" si="6"/>
        <v>8400</v>
      </c>
      <c r="P18" s="11">
        <f t="shared" si="6"/>
        <v>7800</v>
      </c>
      <c r="Q18" s="11">
        <f t="shared" si="6"/>
        <v>8000</v>
      </c>
      <c r="R18" s="11">
        <f t="shared" si="6"/>
        <v>8000</v>
      </c>
      <c r="S18" s="14">
        <f t="shared" si="7"/>
        <v>0</v>
      </c>
      <c r="T18" s="14">
        <f t="shared" si="4"/>
        <v>200</v>
      </c>
      <c r="U18" s="14">
        <f t="shared" si="4"/>
        <v>0</v>
      </c>
      <c r="V18" s="14">
        <f t="shared" si="4"/>
        <v>0</v>
      </c>
      <c r="W18" s="14">
        <f t="shared" si="4"/>
        <v>0</v>
      </c>
      <c r="X18" s="17">
        <f t="shared" si="8"/>
        <v>8000</v>
      </c>
      <c r="Y18" s="17">
        <f t="shared" si="5"/>
        <v>8600</v>
      </c>
      <c r="Z18" s="17">
        <f t="shared" si="5"/>
        <v>7800</v>
      </c>
      <c r="AA18" s="17">
        <f t="shared" si="5"/>
        <v>8000</v>
      </c>
      <c r="AB18" s="17">
        <f t="shared" si="5"/>
        <v>8000</v>
      </c>
      <c r="AD18" s="10">
        <f t="shared" si="9"/>
        <v>40200</v>
      </c>
    </row>
    <row r="19" spans="1:30">
      <c r="A19" t="s">
        <v>41</v>
      </c>
      <c r="B19" t="s">
        <v>42</v>
      </c>
      <c r="C19" s="1">
        <v>180</v>
      </c>
      <c r="D19" s="4">
        <v>41</v>
      </c>
      <c r="E19" s="4">
        <v>42</v>
      </c>
      <c r="F19" s="4">
        <v>40</v>
      </c>
      <c r="G19" s="4">
        <v>28</v>
      </c>
      <c r="H19" s="4">
        <v>40</v>
      </c>
      <c r="I19" s="6">
        <f>IF(D19&gt;40,D19-40,0)</f>
        <v>1</v>
      </c>
      <c r="J19" s="6">
        <f>IF(E19&gt;40,E19-40,0)</f>
        <v>2</v>
      </c>
      <c r="K19" s="6">
        <f>IF(F19&gt;40,F19-40,0)</f>
        <v>0</v>
      </c>
      <c r="L19" s="6">
        <f>IF(G19&gt;40,G19-40,0)</f>
        <v>0</v>
      </c>
      <c r="M19" s="6">
        <f>IF(H19&gt;40,H19-40,0)</f>
        <v>0</v>
      </c>
      <c r="N19" s="11">
        <f t="shared" si="6"/>
        <v>7380</v>
      </c>
      <c r="O19" s="11">
        <f t="shared" si="6"/>
        <v>7560</v>
      </c>
      <c r="P19" s="11">
        <f t="shared" si="6"/>
        <v>7200</v>
      </c>
      <c r="Q19" s="11">
        <f t="shared" si="6"/>
        <v>5040</v>
      </c>
      <c r="R19" s="11">
        <f t="shared" si="6"/>
        <v>7200</v>
      </c>
      <c r="S19" s="14">
        <f t="shared" si="7"/>
        <v>90</v>
      </c>
      <c r="T19" s="14">
        <f t="shared" si="4"/>
        <v>180</v>
      </c>
      <c r="U19" s="14">
        <f t="shared" si="4"/>
        <v>0</v>
      </c>
      <c r="V19" s="14">
        <f t="shared" si="4"/>
        <v>0</v>
      </c>
      <c r="W19" s="14">
        <f t="shared" si="4"/>
        <v>0</v>
      </c>
      <c r="X19" s="17">
        <f t="shared" si="8"/>
        <v>7470</v>
      </c>
      <c r="Y19" s="17">
        <f t="shared" si="5"/>
        <v>7740</v>
      </c>
      <c r="Z19" s="17">
        <f t="shared" si="5"/>
        <v>7200</v>
      </c>
      <c r="AA19" s="17">
        <f t="shared" si="5"/>
        <v>5040</v>
      </c>
      <c r="AB19" s="17">
        <f t="shared" si="5"/>
        <v>7200</v>
      </c>
      <c r="AD19" s="10">
        <f t="shared" si="9"/>
        <v>34380</v>
      </c>
    </row>
    <row r="20" spans="1:30">
      <c r="A20" t="s">
        <v>43</v>
      </c>
      <c r="B20" t="s">
        <v>44</v>
      </c>
      <c r="C20" s="1">
        <v>175</v>
      </c>
      <c r="D20" s="4">
        <v>39</v>
      </c>
      <c r="E20" s="4">
        <v>80</v>
      </c>
      <c r="F20" s="4">
        <v>40</v>
      </c>
      <c r="G20" s="4">
        <v>20</v>
      </c>
      <c r="H20" s="4">
        <v>40</v>
      </c>
      <c r="I20" s="6">
        <f>IF(D20&gt;40,D20-40,0)</f>
        <v>0</v>
      </c>
      <c r="J20" s="6">
        <f>IF(E20&gt;40,E20-40,0)</f>
        <v>40</v>
      </c>
      <c r="K20" s="6">
        <f>IF(F20&gt;40,F20-40,0)</f>
        <v>0</v>
      </c>
      <c r="L20" s="6">
        <f>IF(G20&gt;40,G20-40,0)</f>
        <v>0</v>
      </c>
      <c r="M20" s="6">
        <f>IF(H20&gt;40,H20-40,0)</f>
        <v>0</v>
      </c>
      <c r="N20" s="11">
        <f t="shared" si="6"/>
        <v>6825</v>
      </c>
      <c r="O20" s="11">
        <f t="shared" si="6"/>
        <v>14000</v>
      </c>
      <c r="P20" s="11">
        <f t="shared" si="6"/>
        <v>7000</v>
      </c>
      <c r="Q20" s="11">
        <f t="shared" si="6"/>
        <v>3500</v>
      </c>
      <c r="R20" s="11">
        <f t="shared" si="6"/>
        <v>7000</v>
      </c>
      <c r="S20" s="14">
        <f t="shared" si="7"/>
        <v>0</v>
      </c>
      <c r="T20" s="14">
        <f t="shared" ref="T20" si="10">0.5*$C20*J20</f>
        <v>3500</v>
      </c>
      <c r="U20" s="14">
        <f t="shared" ref="U20" si="11">0.5*$C20*K20</f>
        <v>0</v>
      </c>
      <c r="V20" s="14">
        <f t="shared" ref="V20" si="12">0.5*$C20*L20</f>
        <v>0</v>
      </c>
      <c r="W20" s="14">
        <f t="shared" ref="W20" si="13">0.5*$C20*M20</f>
        <v>0</v>
      </c>
      <c r="X20" s="17">
        <f t="shared" si="8"/>
        <v>6825</v>
      </c>
      <c r="Y20" s="17">
        <f t="shared" ref="Y20" si="14">O20+T20</f>
        <v>17500</v>
      </c>
      <c r="Z20" s="17">
        <f t="shared" ref="Z20" si="15">P20+U20</f>
        <v>7000</v>
      </c>
      <c r="AA20" s="17">
        <f t="shared" ref="AA20" si="16">Q20+V20</f>
        <v>3500</v>
      </c>
      <c r="AB20" s="17">
        <f t="shared" ref="AB20" si="17">R20+W20</f>
        <v>7000</v>
      </c>
      <c r="AD20" s="10">
        <f t="shared" si="9"/>
        <v>38325</v>
      </c>
    </row>
    <row r="21" spans="1:30">
      <c r="D21" s="4"/>
      <c r="E21" s="4"/>
      <c r="F21" s="4"/>
      <c r="G21" s="4"/>
      <c r="H21" s="4"/>
      <c r="I21" s="6"/>
      <c r="J21" s="6"/>
      <c r="K21" s="6"/>
      <c r="L21" s="6"/>
      <c r="M21" s="6"/>
      <c r="N21" s="8"/>
      <c r="O21" s="8"/>
      <c r="P21" s="8"/>
      <c r="Q21" s="8"/>
      <c r="R21" s="8"/>
      <c r="S21" s="12"/>
      <c r="T21" s="12"/>
      <c r="U21" s="12"/>
      <c r="V21" s="12"/>
      <c r="W21" s="12"/>
      <c r="X21" s="15"/>
      <c r="Y21" s="15"/>
      <c r="Z21" s="15"/>
      <c r="AA21" s="15"/>
      <c r="AB21" s="15"/>
      <c r="AD21" s="1"/>
    </row>
    <row r="22" spans="1:30">
      <c r="A22" t="s">
        <v>45</v>
      </c>
      <c r="C22" s="18">
        <f>MAX(C4:C20)</f>
        <v>220</v>
      </c>
      <c r="D22" s="18">
        <f t="shared" ref="D22:AB22" si="18">MAX(D4:D20)</f>
        <v>55</v>
      </c>
      <c r="E22" s="18">
        <f t="shared" si="18"/>
        <v>80</v>
      </c>
      <c r="F22" s="18">
        <f t="shared" si="18"/>
        <v>54</v>
      </c>
      <c r="G22" s="18">
        <f t="shared" si="18"/>
        <v>42</v>
      </c>
      <c r="H22" s="18">
        <f t="shared" si="18"/>
        <v>49</v>
      </c>
      <c r="I22" s="18">
        <f t="shared" si="18"/>
        <v>15</v>
      </c>
      <c r="J22" s="18">
        <f t="shared" si="18"/>
        <v>40</v>
      </c>
      <c r="K22" s="18">
        <f t="shared" si="18"/>
        <v>14</v>
      </c>
      <c r="L22" s="18">
        <f t="shared" si="18"/>
        <v>2</v>
      </c>
      <c r="M22" s="18">
        <f t="shared" si="18"/>
        <v>9</v>
      </c>
      <c r="N22" s="18">
        <f t="shared" si="18"/>
        <v>10780</v>
      </c>
      <c r="O22" s="18">
        <f t="shared" si="18"/>
        <v>14000</v>
      </c>
      <c r="P22" s="18">
        <f t="shared" si="18"/>
        <v>8820</v>
      </c>
      <c r="Q22" s="18">
        <f t="shared" si="18"/>
        <v>9020</v>
      </c>
      <c r="R22" s="18">
        <f t="shared" si="18"/>
        <v>9200</v>
      </c>
      <c r="S22" s="18">
        <f t="shared" si="18"/>
        <v>1275</v>
      </c>
      <c r="T22" s="18">
        <f t="shared" si="18"/>
        <v>3500</v>
      </c>
      <c r="U22" s="18">
        <f t="shared" si="18"/>
        <v>1120</v>
      </c>
      <c r="V22" s="18">
        <f t="shared" si="18"/>
        <v>190</v>
      </c>
      <c r="W22" s="18">
        <f t="shared" si="18"/>
        <v>765</v>
      </c>
      <c r="X22" s="18">
        <f t="shared" si="18"/>
        <v>11770</v>
      </c>
      <c r="Y22" s="18">
        <f t="shared" si="18"/>
        <v>17500</v>
      </c>
      <c r="Z22" s="18">
        <f t="shared" si="18"/>
        <v>9760</v>
      </c>
      <c r="AA22" s="18">
        <f t="shared" si="18"/>
        <v>9130</v>
      </c>
      <c r="AB22" s="18">
        <f t="shared" si="18"/>
        <v>9800</v>
      </c>
      <c r="AD22" s="18">
        <f t="shared" ref="AD22" si="19">MAX(AD4:AD20)</f>
        <v>44660</v>
      </c>
    </row>
    <row r="23" spans="1:30">
      <c r="A23" t="s">
        <v>46</v>
      </c>
      <c r="C23" s="18">
        <f>MIN(C4:C20)</f>
        <v>150</v>
      </c>
      <c r="D23" s="18">
        <f t="shared" ref="D23:AB23" si="20">MIN(D4:D20)</f>
        <v>29</v>
      </c>
      <c r="E23" s="18">
        <f t="shared" si="20"/>
        <v>22</v>
      </c>
      <c r="F23" s="18">
        <f t="shared" si="20"/>
        <v>33</v>
      </c>
      <c r="G23" s="18">
        <f t="shared" si="20"/>
        <v>20</v>
      </c>
      <c r="H23" s="18">
        <f t="shared" si="20"/>
        <v>18</v>
      </c>
      <c r="I23" s="18">
        <f t="shared" si="20"/>
        <v>0</v>
      </c>
      <c r="J23" s="18">
        <f t="shared" si="20"/>
        <v>0</v>
      </c>
      <c r="K23" s="18">
        <f t="shared" si="20"/>
        <v>0</v>
      </c>
      <c r="L23" s="18">
        <f t="shared" si="20"/>
        <v>0</v>
      </c>
      <c r="M23" s="18">
        <f t="shared" si="20"/>
        <v>0</v>
      </c>
      <c r="N23" s="18">
        <f t="shared" si="20"/>
        <v>5280</v>
      </c>
      <c r="O23" s="18">
        <f t="shared" si="20"/>
        <v>3520</v>
      </c>
      <c r="P23" s="18">
        <f t="shared" si="20"/>
        <v>5850</v>
      </c>
      <c r="Q23" s="18">
        <f t="shared" si="20"/>
        <v>3500</v>
      </c>
      <c r="R23" s="18">
        <f t="shared" si="20"/>
        <v>3200</v>
      </c>
      <c r="S23" s="18">
        <f t="shared" si="20"/>
        <v>0</v>
      </c>
      <c r="T23" s="18">
        <f t="shared" si="20"/>
        <v>0</v>
      </c>
      <c r="U23" s="18">
        <f t="shared" si="20"/>
        <v>0</v>
      </c>
      <c r="V23" s="18">
        <f t="shared" si="20"/>
        <v>0</v>
      </c>
      <c r="W23" s="18">
        <f t="shared" si="20"/>
        <v>0</v>
      </c>
      <c r="X23" s="18">
        <f t="shared" si="20"/>
        <v>5280</v>
      </c>
      <c r="Y23" s="18">
        <f t="shared" si="20"/>
        <v>3520</v>
      </c>
      <c r="Z23" s="18">
        <f t="shared" si="20"/>
        <v>5850</v>
      </c>
      <c r="AA23" s="18">
        <f t="shared" si="20"/>
        <v>3500</v>
      </c>
      <c r="AB23" s="18">
        <f t="shared" si="20"/>
        <v>3200</v>
      </c>
      <c r="AD23" s="18">
        <f t="shared" ref="AD23" si="21">MIN(AD4:AD20)</f>
        <v>27040</v>
      </c>
    </row>
    <row r="24" spans="1:30">
      <c r="A24" t="s">
        <v>47</v>
      </c>
      <c r="C24" s="18">
        <f>AVERAGE(C4:C20)</f>
        <v>186.47058823529412</v>
      </c>
      <c r="D24" s="18">
        <f t="shared" ref="D24:AB24" si="22">AVERAGE(D4:D20)</f>
        <v>40.823529411764703</v>
      </c>
      <c r="E24" s="18">
        <f t="shared" si="22"/>
        <v>45.117647058823529</v>
      </c>
      <c r="F24" s="18">
        <f t="shared" si="22"/>
        <v>41.529411764705884</v>
      </c>
      <c r="G24" s="18">
        <f t="shared" si="22"/>
        <v>35.882352941176471</v>
      </c>
      <c r="H24" s="18">
        <f t="shared" si="22"/>
        <v>37.411764705882355</v>
      </c>
      <c r="I24" s="18">
        <f t="shared" si="22"/>
        <v>2</v>
      </c>
      <c r="J24" s="18">
        <f t="shared" si="22"/>
        <v>6.1764705882352944</v>
      </c>
      <c r="K24" s="18">
        <f t="shared" si="22"/>
        <v>2.1764705882352939</v>
      </c>
      <c r="L24" s="18">
        <f t="shared" si="22"/>
        <v>0.29411764705882354</v>
      </c>
      <c r="M24" s="18">
        <f t="shared" si="22"/>
        <v>1.1176470588235294</v>
      </c>
      <c r="N24" s="18">
        <f t="shared" si="22"/>
        <v>7608.5294117647063</v>
      </c>
      <c r="O24" s="18">
        <f t="shared" si="22"/>
        <v>8382.3529411764703</v>
      </c>
      <c r="P24" s="18">
        <f t="shared" si="22"/>
        <v>7692.3529411764703</v>
      </c>
      <c r="Q24" s="18">
        <f t="shared" si="22"/>
        <v>6680.588235294118</v>
      </c>
      <c r="R24" s="18">
        <f t="shared" si="22"/>
        <v>6968.2352941176468</v>
      </c>
      <c r="S24" s="18">
        <f t="shared" si="22"/>
        <v>183.52941176470588</v>
      </c>
      <c r="T24" s="18">
        <f t="shared" si="22"/>
        <v>546.47058823529414</v>
      </c>
      <c r="U24" s="18">
        <f t="shared" si="22"/>
        <v>184.70588235294119</v>
      </c>
      <c r="V24" s="18">
        <f t="shared" si="22"/>
        <v>26.470588235294116</v>
      </c>
      <c r="W24" s="18">
        <f t="shared" si="22"/>
        <v>101.47058823529412</v>
      </c>
      <c r="X24" s="18">
        <f t="shared" si="22"/>
        <v>7792.0588235294117</v>
      </c>
      <c r="Y24" s="18">
        <f t="shared" si="22"/>
        <v>8928.823529411764</v>
      </c>
      <c r="Z24" s="18">
        <f t="shared" si="22"/>
        <v>7877.0588235294117</v>
      </c>
      <c r="AA24" s="18">
        <f t="shared" si="22"/>
        <v>6707.0588235294117</v>
      </c>
      <c r="AB24" s="18">
        <f t="shared" si="22"/>
        <v>7069.7058823529414</v>
      </c>
      <c r="AD24" s="18">
        <f t="shared" ref="AD24" si="23">AVERAGE(AD4:AD20)</f>
        <v>37332.058823529413</v>
      </c>
    </row>
    <row r="25" spans="1:30">
      <c r="A25" t="s">
        <v>6</v>
      </c>
      <c r="C25" s="18">
        <f>SUM(C4:C20)</f>
        <v>3170</v>
      </c>
      <c r="D25" s="18">
        <f t="shared" ref="D25:AB25" si="24">SUM(D4:D20)</f>
        <v>694</v>
      </c>
      <c r="E25" s="18">
        <f t="shared" si="24"/>
        <v>767</v>
      </c>
      <c r="F25" s="18">
        <f t="shared" si="24"/>
        <v>706</v>
      </c>
      <c r="G25" s="18">
        <f t="shared" si="24"/>
        <v>610</v>
      </c>
      <c r="H25" s="18">
        <f t="shared" si="24"/>
        <v>636</v>
      </c>
      <c r="I25" s="18">
        <f t="shared" si="24"/>
        <v>34</v>
      </c>
      <c r="J25" s="18">
        <f t="shared" si="24"/>
        <v>105</v>
      </c>
      <c r="K25" s="18">
        <f t="shared" si="24"/>
        <v>37</v>
      </c>
      <c r="L25" s="18">
        <f t="shared" si="24"/>
        <v>5</v>
      </c>
      <c r="M25" s="18">
        <f t="shared" si="24"/>
        <v>19</v>
      </c>
      <c r="N25" s="18">
        <f t="shared" si="24"/>
        <v>129345</v>
      </c>
      <c r="O25" s="18">
        <f t="shared" si="24"/>
        <v>142500</v>
      </c>
      <c r="P25" s="18">
        <f t="shared" si="24"/>
        <v>130770</v>
      </c>
      <c r="Q25" s="18">
        <f t="shared" si="24"/>
        <v>113570</v>
      </c>
      <c r="R25" s="18">
        <f t="shared" si="24"/>
        <v>118460</v>
      </c>
      <c r="S25" s="18">
        <f t="shared" si="24"/>
        <v>3120</v>
      </c>
      <c r="T25" s="18">
        <f t="shared" si="24"/>
        <v>9290</v>
      </c>
      <c r="U25" s="18">
        <f t="shared" si="24"/>
        <v>3140</v>
      </c>
      <c r="V25" s="18">
        <f t="shared" si="24"/>
        <v>450</v>
      </c>
      <c r="W25" s="18">
        <f t="shared" si="24"/>
        <v>1725</v>
      </c>
      <c r="X25" s="18">
        <f t="shared" si="24"/>
        <v>132465</v>
      </c>
      <c r="Y25" s="18">
        <f t="shared" si="24"/>
        <v>151790</v>
      </c>
      <c r="Z25" s="18">
        <f t="shared" si="24"/>
        <v>133910</v>
      </c>
      <c r="AA25" s="18">
        <f t="shared" si="24"/>
        <v>114020</v>
      </c>
      <c r="AB25" s="18">
        <f t="shared" si="24"/>
        <v>120185</v>
      </c>
      <c r="AD25" s="18">
        <f t="shared" ref="AD25" si="25">SUM(AD4:AD20)</f>
        <v>634645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Shreya Shankar</dc:creator>
  <cp:keywords/>
  <dc:description/>
  <cp:lastModifiedBy>Shreya Shankar</cp:lastModifiedBy>
  <cp:revision/>
  <dcterms:created xsi:type="dcterms:W3CDTF">2025-11-15T06:42:14Z</dcterms:created>
  <dcterms:modified xsi:type="dcterms:W3CDTF">2025-11-15T08:44:24Z</dcterms:modified>
  <cp:category/>
  <cp:contentStatus/>
</cp:coreProperties>
</file>